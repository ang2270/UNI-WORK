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seinkew\Monash Uni Enterprise Dropbox\Hsein Kew\Teaching\QM1\Workshop\Workshop\"/>
    </mc:Choice>
  </mc:AlternateContent>
  <xr:revisionPtr revIDLastSave="0" documentId="13_ncr:1_{ADD0C51B-6966-44DC-AF60-0D39E8D528E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1" l="1"/>
  <c r="J19" i="1"/>
  <c r="G64" i="1"/>
  <c r="G6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3" i="1"/>
  <c r="E63" i="1" l="1"/>
  <c r="E4" i="1"/>
  <c r="F4" i="1"/>
  <c r="E5" i="1"/>
  <c r="F5" i="1"/>
  <c r="E6" i="1"/>
  <c r="F6" i="1"/>
  <c r="F64" i="1" s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F3" i="1"/>
  <c r="E3" i="1"/>
  <c r="E64" i="1" s="1"/>
  <c r="J17" i="1" l="1"/>
  <c r="F63" i="1"/>
  <c r="J18" i="1" s="1"/>
  <c r="K5" i="1"/>
  <c r="L6" i="1"/>
  <c r="J15" i="1" s="1"/>
  <c r="K15" i="1" s="1"/>
</calcChain>
</file>

<file path=xl/sharedStrings.xml><?xml version="1.0" encoding="utf-8"?>
<sst xmlns="http://schemas.openxmlformats.org/spreadsheetml/2006/main" count="86" uniqueCount="78">
  <si>
    <t>Date</t>
  </si>
  <si>
    <t>msft</t>
  </si>
  <si>
    <t>aapl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</si>
  <si>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</si>
  <si>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</si>
  <si>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</si>
  <si>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</si>
  <si>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</si>
  <si>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</si>
  <si>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</si>
  <si>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</si>
  <si>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</si>
  <si>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</si>
  <si>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</si>
  <si>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</si>
  <si>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</si>
  <si>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</si>
  <si>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</si>
  <si>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</si>
  <si>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</si>
  <si>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</si>
  <si>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</si>
  <si>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</si>
  <si>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</si>
  <si>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</si>
  <si>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</si>
  <si>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</si>
  <si>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</si>
  <si>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</si>
  <si>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</si>
  <si>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</si>
  <si>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</si>
  <si>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</si>
  <si>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</si>
  <si>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</si>
  <si>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</si>
  <si>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</si>
  <si>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</si>
  <si>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</si>
  <si>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</si>
  <si>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</si>
  <si>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</si>
  <si>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</si>
  <si>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</si>
  <si>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</si>
  <si>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</si>
  <si>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</si>
  <si>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</si>
  <si>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</si>
  <si>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</si>
  <si>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</si>
  <si>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</si>
  <si>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</si>
  <si>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</si>
  <si>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</si>
  <si>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</si>
  <si>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</si>
  <si>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</si>
  <si>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</si>
  <si>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</si>
  <si>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</si>
  <si>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</si>
  <si>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</si>
  <si>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</si>
  <si>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muhat</t>
  </si>
  <si>
    <t>sigmahat</t>
  </si>
  <si>
    <t>Column 1</t>
  </si>
  <si>
    <t>Column 2</t>
  </si>
  <si>
    <t>w</t>
  </si>
  <si>
    <t>1-w</t>
  </si>
  <si>
    <t>Rf</t>
  </si>
  <si>
    <t>SR-msft</t>
  </si>
  <si>
    <t>SR-aapl</t>
  </si>
  <si>
    <t>portfolio</t>
  </si>
  <si>
    <t>SR-port</t>
  </si>
  <si>
    <t>Covariance</t>
  </si>
  <si>
    <t>Correlation</t>
  </si>
  <si>
    <t>Covariance (Sample)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</si>
</sst>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"/>
  <sheetViews>
    <sheetView tabSelected="1" workbookViewId="0">
      <selection activeCell="O18" sqref="O18"/>
    </sheetView>
  </sheetViews>
  <sheetFormatPr defaultRowHeight="15" x14ac:dyDescent="0.25"/>
  <sheetData>
    <row r="1" spans="1:14" s="1" customFormat="1" x14ac:dyDescent="0.25">
      <c r="A1" s="1" t="s">
        <v>0</v>
      </c>
      <c r="B1" s="1" t="s">
        <v>1</v>
      </c>
      <c r="C1" s="1" t="s">
        <v>2</v>
      </c>
      <c r="E1" s="1" t="s">
        <v>1</v>
      </c>
      <c r="F1" s="1" t="s">
        <v>2</v>
      </c>
      <c r="G1" s="1" t="s">
        <v>73</v>
      </c>
      <c r="J1" s="5" t="s">
        <v>70</v>
      </c>
      <c r="K1" s="5">
        <v>0.03</v>
      </c>
    </row>
    <row r="2" spans="1:14" x14ac:dyDescent="0.25">
      <c r="A2" t="s">
        <v>3</v>
      </c>
      <c r="B2">
        <v>212.93482971191409</v>
      </c>
      <c r="C2">
        <v>129.046630859375</v>
      </c>
    </row>
    <row r="3" spans="1:14" ht="15.75" thickBot="1" x14ac:dyDescent="0.3">
      <c r="A3" t="s">
        <v>4</v>
      </c>
      <c r="B3">
        <v>222.0679626464844</v>
      </c>
      <c r="C3">
        <v>128.336669921875</v>
      </c>
      <c r="E3">
        <f>LN(B3/B2)</f>
        <v>4.1997317969692839E-2</v>
      </c>
      <c r="F3">
        <f>LN(C3/C2)</f>
        <v>-5.5167739007958207E-3</v>
      </c>
      <c r="G3">
        <f>E3*J$15+F3*K$15</f>
        <v>2.3067913368128929E-2</v>
      </c>
      <c r="J3" t="s">
        <v>75</v>
      </c>
      <c r="N3" t="s">
        <v>77</v>
      </c>
    </row>
    <row r="4" spans="1:14" x14ac:dyDescent="0.25">
      <c r="A4" t="s">
        <v>5</v>
      </c>
      <c r="B4">
        <v>222.98248291015631</v>
      </c>
      <c r="C4">
        <v>118.1067199707031</v>
      </c>
      <c r="E4">
        <f t="shared" ref="E4:E62" si="0">LN(B4/B3)</f>
        <v>4.1097433335416465E-3</v>
      </c>
      <c r="F4">
        <f t="shared" ref="F4:F62" si="1">LN(C4/C3)</f>
        <v>-8.3068422405050385E-2</v>
      </c>
      <c r="G4">
        <f t="shared" ref="G4:G62" si="2">E4*J$15+F4*K$15</f>
        <v>-3.0621653326340124E-2</v>
      </c>
      <c r="J4" s="4"/>
      <c r="K4" s="4" t="s">
        <v>66</v>
      </c>
      <c r="L4" s="4" t="s">
        <v>67</v>
      </c>
      <c r="N4">
        <f>_xlfn.COVARIANCE.S(E3:E62,F3:F62)</f>
        <v>2.1958382177798127E-3</v>
      </c>
    </row>
    <row r="5" spans="1:14" x14ac:dyDescent="0.25">
      <c r="A5" t="s">
        <v>6</v>
      </c>
      <c r="B5">
        <v>226.23536682128909</v>
      </c>
      <c r="C5">
        <v>118.9735565185547</v>
      </c>
      <c r="E5">
        <f t="shared" si="0"/>
        <v>1.4482687053051797E-2</v>
      </c>
      <c r="F5">
        <f t="shared" si="1"/>
        <v>7.3126320206395321E-3</v>
      </c>
      <c r="G5">
        <f t="shared" si="2"/>
        <v>1.1626168757511966E-2</v>
      </c>
      <c r="J5" s="2" t="s">
        <v>66</v>
      </c>
      <c r="K5" s="2">
        <f>VARP(Sheet1!$E$3:$E$62)</f>
        <v>3.897853855585537E-3</v>
      </c>
      <c r="L5" s="2"/>
    </row>
    <row r="6" spans="1:14" ht="15.75" thickBot="1" x14ac:dyDescent="0.3">
      <c r="A6" t="s">
        <v>7</v>
      </c>
      <c r="B6">
        <v>241.98173522949219</v>
      </c>
      <c r="C6">
        <v>128.04145812988281</v>
      </c>
      <c r="E6">
        <f t="shared" si="0"/>
        <v>6.7286345594654795E-2</v>
      </c>
      <c r="F6">
        <f t="shared" si="1"/>
        <v>7.3452848829233752E-2</v>
      </c>
      <c r="G6">
        <f t="shared" si="2"/>
        <v>6.9743053280921202E-2</v>
      </c>
      <c r="J6" s="3" t="s">
        <v>67</v>
      </c>
      <c r="K6" s="3">
        <v>2.1592409141501494E-3</v>
      </c>
      <c r="L6" s="3">
        <f>VARP(Sheet1!$F$3:$F$62)</f>
        <v>4.7846646006685298E-3</v>
      </c>
    </row>
    <row r="7" spans="1:14" x14ac:dyDescent="0.25">
      <c r="A7" t="s">
        <v>8</v>
      </c>
      <c r="B7">
        <v>240.13606262207031</v>
      </c>
      <c r="C7">
        <v>121.57574462890631</v>
      </c>
      <c r="E7">
        <f t="shared" si="0"/>
        <v>-7.6565587588485274E-3</v>
      </c>
      <c r="F7">
        <f t="shared" si="1"/>
        <v>-5.1816621994459369E-2</v>
      </c>
      <c r="G7">
        <f t="shared" si="2"/>
        <v>-2.5249733147954832E-2</v>
      </c>
    </row>
    <row r="8" spans="1:14" ht="15.75" thickBot="1" x14ac:dyDescent="0.3">
      <c r="A8" t="s">
        <v>9</v>
      </c>
      <c r="B8">
        <v>260.544921875</v>
      </c>
      <c r="C8">
        <v>133.6250305175781</v>
      </c>
      <c r="E8">
        <f t="shared" si="0"/>
        <v>8.156960085296551E-2</v>
      </c>
      <c r="F8">
        <f t="shared" si="1"/>
        <v>9.4500116604139289E-2</v>
      </c>
      <c r="G8">
        <f t="shared" si="2"/>
        <v>8.6721061287651627E-2</v>
      </c>
      <c r="J8" t="s">
        <v>76</v>
      </c>
    </row>
    <row r="9" spans="1:14" x14ac:dyDescent="0.25">
      <c r="A9" t="s">
        <v>10</v>
      </c>
      <c r="B9">
        <v>274.01937866210938</v>
      </c>
      <c r="C9">
        <v>142.3083190917969</v>
      </c>
      <c r="E9">
        <f t="shared" si="0"/>
        <v>5.0423537787185398E-2</v>
      </c>
      <c r="F9">
        <f t="shared" si="1"/>
        <v>6.295836730254456E-2</v>
      </c>
      <c r="G9">
        <f t="shared" si="2"/>
        <v>5.5417358571019704E-2</v>
      </c>
      <c r="J9" s="4"/>
      <c r="K9" s="4" t="s">
        <v>66</v>
      </c>
      <c r="L9" s="4" t="s">
        <v>67</v>
      </c>
    </row>
    <row r="10" spans="1:14" x14ac:dyDescent="0.25">
      <c r="A10" t="s">
        <v>11</v>
      </c>
      <c r="B10">
        <v>290.89651489257813</v>
      </c>
      <c r="C10">
        <v>148.3548889160156</v>
      </c>
      <c r="E10">
        <f t="shared" si="0"/>
        <v>5.9768756066871882E-2</v>
      </c>
      <c r="F10">
        <f t="shared" si="1"/>
        <v>4.1611336445374333E-2</v>
      </c>
      <c r="G10">
        <f t="shared" si="2"/>
        <v>5.2534920187769604E-2</v>
      </c>
      <c r="J10" s="2" t="s">
        <v>66</v>
      </c>
      <c r="K10" s="2">
        <v>1</v>
      </c>
      <c r="L10" s="2"/>
    </row>
    <row r="11" spans="1:14" ht="15.75" thickBot="1" x14ac:dyDescent="0.3">
      <c r="A11" t="s">
        <v>12</v>
      </c>
      <c r="B11">
        <v>271.66275024414063</v>
      </c>
      <c r="C11">
        <v>138.26130676269531</v>
      </c>
      <c r="E11">
        <f t="shared" si="0"/>
        <v>-6.8406176808638378E-2</v>
      </c>
      <c r="F11">
        <f t="shared" si="1"/>
        <v>-7.0461879515154993E-2</v>
      </c>
      <c r="G11">
        <f t="shared" si="2"/>
        <v>-6.9225159698561869E-2</v>
      </c>
      <c r="J11" s="3" t="s">
        <v>67</v>
      </c>
      <c r="K11" s="3">
        <v>0.49999144680805513</v>
      </c>
      <c r="L11" s="3">
        <v>1</v>
      </c>
    </row>
    <row r="12" spans="1:14" x14ac:dyDescent="0.25">
      <c r="A12" t="s">
        <v>13</v>
      </c>
      <c r="B12">
        <v>319.55453491210938</v>
      </c>
      <c r="C12">
        <v>146.37135314941409</v>
      </c>
      <c r="E12">
        <f t="shared" si="0"/>
        <v>0.16236653936321027</v>
      </c>
      <c r="F12">
        <f t="shared" si="1"/>
        <v>5.7001485211203025E-2</v>
      </c>
      <c r="G12">
        <f t="shared" si="2"/>
        <v>0.12038956658752237</v>
      </c>
    </row>
    <row r="13" spans="1:14" x14ac:dyDescent="0.25">
      <c r="A13" t="s">
        <v>14</v>
      </c>
      <c r="B13">
        <v>319.144775390625</v>
      </c>
      <c r="C13">
        <v>161.7522888183594</v>
      </c>
      <c r="E13">
        <f t="shared" si="0"/>
        <v>-1.2831063728810017E-3</v>
      </c>
      <c r="F13">
        <f t="shared" si="1"/>
        <v>9.9919176454839165E-2</v>
      </c>
      <c r="G13">
        <f t="shared" si="2"/>
        <v>3.9035436670507628E-2</v>
      </c>
    </row>
    <row r="14" spans="1:14" x14ac:dyDescent="0.25">
      <c r="A14" t="s">
        <v>15</v>
      </c>
      <c r="B14">
        <v>324.67645263671881</v>
      </c>
      <c r="C14">
        <v>173.75897216796881</v>
      </c>
      <c r="E14">
        <f t="shared" si="0"/>
        <v>1.7184314931783486E-2</v>
      </c>
      <c r="F14">
        <f t="shared" si="1"/>
        <v>7.1603037862246449E-2</v>
      </c>
      <c r="G14">
        <f t="shared" si="2"/>
        <v>3.8864494089136767E-2</v>
      </c>
      <c r="J14" t="s">
        <v>68</v>
      </c>
      <c r="K14" t="s">
        <v>69</v>
      </c>
    </row>
    <row r="15" spans="1:14" x14ac:dyDescent="0.25">
      <c r="A15" t="s">
        <v>16</v>
      </c>
      <c r="B15">
        <v>300.21368408203131</v>
      </c>
      <c r="C15">
        <v>171.02880859375</v>
      </c>
      <c r="E15">
        <f t="shared" si="0"/>
        <v>-7.8334654733275833E-2</v>
      </c>
      <c r="F15">
        <f t="shared" si="1"/>
        <v>-1.5837107867043145E-2</v>
      </c>
      <c r="G15">
        <f t="shared" si="2"/>
        <v>-5.3435907758151241E-2</v>
      </c>
      <c r="J15">
        <f>(L6-K6)/(K5+L6-2*K6)</f>
        <v>0.60160441131526499</v>
      </c>
      <c r="K15">
        <f>1-J15</f>
        <v>0.39839558868473501</v>
      </c>
    </row>
    <row r="16" spans="1:14" x14ac:dyDescent="0.25">
      <c r="A16" t="s">
        <v>17</v>
      </c>
      <c r="B16">
        <v>289.04214477539063</v>
      </c>
      <c r="C16">
        <v>161.7820129394531</v>
      </c>
      <c r="E16">
        <f t="shared" si="0"/>
        <v>-3.7921994225486366E-2</v>
      </c>
      <c r="F16">
        <f t="shared" si="1"/>
        <v>-5.5582183659709246E-2</v>
      </c>
      <c r="G16">
        <f t="shared" si="2"/>
        <v>-4.4957735791417527E-2</v>
      </c>
    </row>
    <row r="17" spans="1:10" x14ac:dyDescent="0.25">
      <c r="A17" t="s">
        <v>18</v>
      </c>
      <c r="B17">
        <v>298.25161743164063</v>
      </c>
      <c r="C17">
        <v>171.0802001953125</v>
      </c>
      <c r="E17">
        <f t="shared" si="0"/>
        <v>3.1364976883766632E-2</v>
      </c>
      <c r="F17">
        <f t="shared" si="1"/>
        <v>5.5882623581656708E-2</v>
      </c>
      <c r="G17">
        <f t="shared" si="2"/>
        <v>4.1132699173136902E-2</v>
      </c>
      <c r="I17" t="s">
        <v>71</v>
      </c>
      <c r="J17">
        <f>(E63-K1/12)/E64</f>
        <v>0.17894613383438626</v>
      </c>
    </row>
    <row r="18" spans="1:10" x14ac:dyDescent="0.25">
      <c r="A18" t="s">
        <v>19</v>
      </c>
      <c r="B18">
        <v>268.46603393554688</v>
      </c>
      <c r="C18">
        <v>154.46302795410159</v>
      </c>
      <c r="E18">
        <f t="shared" si="0"/>
        <v>-0.10521308112332674</v>
      </c>
      <c r="F18">
        <f t="shared" si="1"/>
        <v>-0.10217768711065757</v>
      </c>
      <c r="G18">
        <f t="shared" si="2"/>
        <v>-0.10400379353875928</v>
      </c>
      <c r="I18" t="s">
        <v>72</v>
      </c>
      <c r="J18">
        <f>(F63-K1/12)/F64</f>
        <v>0.14303768799156466</v>
      </c>
    </row>
    <row r="19" spans="1:10" x14ac:dyDescent="0.25">
      <c r="A19" t="s">
        <v>20</v>
      </c>
      <c r="B19">
        <v>263.61300659179688</v>
      </c>
      <c r="C19">
        <v>146.0453796386719</v>
      </c>
      <c r="E19">
        <f t="shared" si="0"/>
        <v>-1.8242259348313271E-2</v>
      </c>
      <c r="F19">
        <f t="shared" si="1"/>
        <v>-5.6037373575793546E-2</v>
      </c>
      <c r="G19">
        <f t="shared" si="2"/>
        <v>-3.3299666130377083E-2</v>
      </c>
      <c r="I19" t="s">
        <v>74</v>
      </c>
      <c r="J19">
        <f>(G63-K1/12)/G64</f>
        <v>0.18834326898988743</v>
      </c>
    </row>
    <row r="20" spans="1:10" x14ac:dyDescent="0.25">
      <c r="A20" t="s">
        <v>21</v>
      </c>
      <c r="B20">
        <v>249.02973937988281</v>
      </c>
      <c r="C20">
        <v>134.1529541015625</v>
      </c>
      <c r="E20">
        <f t="shared" si="0"/>
        <v>-5.6909818971619272E-2</v>
      </c>
      <c r="F20">
        <f t="shared" si="1"/>
        <v>-8.4936795343956151E-2</v>
      </c>
      <c r="G20">
        <f t="shared" si="2"/>
        <v>-6.8075642722529583E-2</v>
      </c>
    </row>
    <row r="21" spans="1:10" x14ac:dyDescent="0.25">
      <c r="A21" t="s">
        <v>22</v>
      </c>
      <c r="B21">
        <v>272.213623046875</v>
      </c>
      <c r="C21">
        <v>159.4587097167969</v>
      </c>
      <c r="E21">
        <f t="shared" si="0"/>
        <v>8.9014812302760121E-2</v>
      </c>
      <c r="F21">
        <f t="shared" si="1"/>
        <v>0.17280441794953108</v>
      </c>
      <c r="G21">
        <f t="shared" si="2"/>
        <v>0.12239622157006724</v>
      </c>
    </row>
    <row r="22" spans="1:10" x14ac:dyDescent="0.25">
      <c r="A22" t="s">
        <v>23</v>
      </c>
      <c r="B22">
        <v>254.06697082519531</v>
      </c>
      <c r="C22">
        <v>154.4823303222656</v>
      </c>
      <c r="E22">
        <f t="shared" si="0"/>
        <v>-6.8989239964977911E-2</v>
      </c>
      <c r="F22">
        <f t="shared" si="1"/>
        <v>-3.1705292511277162E-2</v>
      </c>
      <c r="G22">
        <f t="shared" si="2"/>
        <v>-5.4135479770670077E-2</v>
      </c>
    </row>
    <row r="23" spans="1:10" x14ac:dyDescent="0.25">
      <c r="A23" t="s">
        <v>24</v>
      </c>
      <c r="B23">
        <v>226.30586242675781</v>
      </c>
      <c r="C23">
        <v>135.7935485839844</v>
      </c>
      <c r="E23">
        <f t="shared" si="0"/>
        <v>-0.11571043907378842</v>
      </c>
      <c r="F23">
        <f t="shared" si="1"/>
        <v>-0.12894401570045014</v>
      </c>
      <c r="G23">
        <f t="shared" si="2"/>
        <v>-0.12098263762437186</v>
      </c>
    </row>
    <row r="24" spans="1:10" x14ac:dyDescent="0.25">
      <c r="A24" t="s">
        <v>25</v>
      </c>
      <c r="B24">
        <v>225.55767822265631</v>
      </c>
      <c r="C24">
        <v>150.66984558105469</v>
      </c>
      <c r="E24">
        <f t="shared" si="0"/>
        <v>-3.3115523627570581E-3</v>
      </c>
      <c r="F24">
        <f t="shared" si="1"/>
        <v>0.10395528268005585</v>
      </c>
      <c r="G24">
        <f t="shared" si="2"/>
        <v>3.9423081530472755E-2</v>
      </c>
    </row>
    <row r="25" spans="1:10" x14ac:dyDescent="0.25">
      <c r="A25" t="s">
        <v>26</v>
      </c>
      <c r="B25">
        <v>248.6148681640625</v>
      </c>
      <c r="C25">
        <v>145.69364929199219</v>
      </c>
      <c r="E25">
        <f t="shared" si="0"/>
        <v>9.7329079372204641E-2</v>
      </c>
      <c r="F25">
        <f t="shared" si="1"/>
        <v>-3.3584865243188489E-2</v>
      </c>
      <c r="G25">
        <f t="shared" si="2"/>
        <v>4.5173541340114295E-2</v>
      </c>
    </row>
    <row r="26" spans="1:10" x14ac:dyDescent="0.25">
      <c r="A26" t="s">
        <v>27</v>
      </c>
      <c r="B26">
        <v>233.68666076660159</v>
      </c>
      <c r="C26">
        <v>127.87928771972661</v>
      </c>
      <c r="E26">
        <f t="shared" si="0"/>
        <v>-6.1923823399555246E-2</v>
      </c>
      <c r="F26">
        <f t="shared" si="1"/>
        <v>-0.1304193704229526</v>
      </c>
      <c r="G26">
        <f t="shared" si="2"/>
        <v>-8.921214717822458E-2</v>
      </c>
    </row>
    <row r="27" spans="1:10" x14ac:dyDescent="0.25">
      <c r="A27" t="s">
        <v>28</v>
      </c>
      <c r="B27">
        <v>241.47233581542969</v>
      </c>
      <c r="C27">
        <v>142.01268005371091</v>
      </c>
      <c r="E27">
        <f t="shared" si="0"/>
        <v>3.2773753574856207E-2</v>
      </c>
      <c r="F27">
        <f t="shared" si="1"/>
        <v>0.10482959550278952</v>
      </c>
      <c r="G27">
        <f t="shared" si="2"/>
        <v>6.1480483137909409E-2</v>
      </c>
    </row>
    <row r="28" spans="1:10" x14ac:dyDescent="0.25">
      <c r="A28" t="s">
        <v>29</v>
      </c>
      <c r="B28">
        <v>243.64988708496091</v>
      </c>
      <c r="C28">
        <v>145.30494689941409</v>
      </c>
      <c r="E28">
        <f t="shared" si="0"/>
        <v>8.977390815895693E-3</v>
      </c>
      <c r="F28">
        <f t="shared" si="1"/>
        <v>2.2918266336652386E-2</v>
      </c>
      <c r="G28">
        <f t="shared" si="2"/>
        <v>1.4531374125768168E-2</v>
      </c>
    </row>
    <row r="29" spans="1:10" x14ac:dyDescent="0.25">
      <c r="A29" t="s">
        <v>30</v>
      </c>
      <c r="B29">
        <v>281.63043212890631</v>
      </c>
      <c r="C29">
        <v>162.54518127441409</v>
      </c>
      <c r="E29">
        <f t="shared" si="0"/>
        <v>0.1448633812263786</v>
      </c>
      <c r="F29">
        <f t="shared" si="1"/>
        <v>0.11212138563185685</v>
      </c>
      <c r="G29">
        <f t="shared" si="2"/>
        <v>0.13181911461678611</v>
      </c>
    </row>
    <row r="30" spans="1:10" x14ac:dyDescent="0.25">
      <c r="A30" t="s">
        <v>31</v>
      </c>
      <c r="B30">
        <v>300.15188598632813</v>
      </c>
      <c r="C30">
        <v>167.2569274902344</v>
      </c>
      <c r="E30">
        <f t="shared" si="0"/>
        <v>6.3692946072990642E-2</v>
      </c>
      <c r="F30">
        <f t="shared" si="1"/>
        <v>2.8575116386061188E-2</v>
      </c>
      <c r="G30">
        <f t="shared" si="2"/>
        <v>4.9702157641536113E-2</v>
      </c>
    </row>
    <row r="31" spans="1:10" x14ac:dyDescent="0.25">
      <c r="A31" t="s">
        <v>32</v>
      </c>
      <c r="B31">
        <v>321.49429321289063</v>
      </c>
      <c r="C31">
        <v>174.96051025390631</v>
      </c>
      <c r="E31">
        <f t="shared" si="0"/>
        <v>6.8691159858438669E-2</v>
      </c>
      <c r="F31">
        <f t="shared" si="1"/>
        <v>4.5029174645413075E-2</v>
      </c>
      <c r="G31">
        <f t="shared" si="2"/>
        <v>5.9264329330045842E-2</v>
      </c>
    </row>
    <row r="32" spans="1:10" x14ac:dyDescent="0.25">
      <c r="A32" t="s">
        <v>33</v>
      </c>
      <c r="B32">
        <v>333.38909912109381</v>
      </c>
      <c r="C32">
        <v>191.46453857421881</v>
      </c>
      <c r="E32">
        <f t="shared" si="0"/>
        <v>3.6330480668761683E-2</v>
      </c>
      <c r="F32">
        <f t="shared" si="1"/>
        <v>9.0142321547693777E-2</v>
      </c>
      <c r="G32">
        <f t="shared" si="2"/>
        <v>5.7768880693933121E-2</v>
      </c>
    </row>
    <row r="33" spans="1:7" x14ac:dyDescent="0.25">
      <c r="A33" t="s">
        <v>34</v>
      </c>
      <c r="B33">
        <v>328.86618041992188</v>
      </c>
      <c r="C33">
        <v>193.91249084472659</v>
      </c>
      <c r="E33">
        <f t="shared" si="0"/>
        <v>-1.3659352107072854E-2</v>
      </c>
      <c r="F33">
        <f t="shared" si="1"/>
        <v>1.270436486185531E-2</v>
      </c>
      <c r="G33">
        <f t="shared" si="2"/>
        <v>-3.15616356531898E-3</v>
      </c>
    </row>
    <row r="34" spans="1:7" x14ac:dyDescent="0.25">
      <c r="A34" t="s">
        <v>35</v>
      </c>
      <c r="B34">
        <v>321.55685424804688</v>
      </c>
      <c r="C34">
        <v>185.6937561035156</v>
      </c>
      <c r="E34">
        <f t="shared" si="0"/>
        <v>-2.2476552949466908E-2</v>
      </c>
      <c r="F34">
        <f t="shared" si="1"/>
        <v>-4.3308134951145612E-2</v>
      </c>
      <c r="G34">
        <f t="shared" si="2"/>
        <v>-3.0775763324260026E-2</v>
      </c>
    </row>
    <row r="35" spans="1:7" x14ac:dyDescent="0.25">
      <c r="A35" t="s">
        <v>36</v>
      </c>
      <c r="B35">
        <v>309.77413940429688</v>
      </c>
      <c r="C35">
        <v>169.22673034667969</v>
      </c>
      <c r="E35">
        <f t="shared" si="0"/>
        <v>-3.7330919260985328E-2</v>
      </c>
      <c r="F35">
        <f t="shared" si="1"/>
        <v>-9.2859428759063709E-2</v>
      </c>
      <c r="G35">
        <f t="shared" si="2"/>
        <v>-5.9453232491258161E-2</v>
      </c>
    </row>
    <row r="36" spans="1:7" x14ac:dyDescent="0.25">
      <c r="A36" t="s">
        <v>37</v>
      </c>
      <c r="B36">
        <v>331.71099853515631</v>
      </c>
      <c r="C36">
        <v>168.79182434082031</v>
      </c>
      <c r="E36">
        <f t="shared" si="0"/>
        <v>6.8420654116210455E-2</v>
      </c>
      <c r="F36">
        <f t="shared" si="1"/>
        <v>-2.573268477800358E-3</v>
      </c>
      <c r="G36">
        <f t="shared" si="2"/>
        <v>4.0136988531331005E-2</v>
      </c>
    </row>
    <row r="37" spans="1:7" x14ac:dyDescent="0.25">
      <c r="A37" t="s">
        <v>38</v>
      </c>
      <c r="B37">
        <v>372.4932861328125</v>
      </c>
      <c r="C37">
        <v>187.99699401855469</v>
      </c>
      <c r="E37">
        <f t="shared" si="0"/>
        <v>0.1159549103693024</v>
      </c>
      <c r="F37">
        <f t="shared" si="1"/>
        <v>0.10775982645009961</v>
      </c>
      <c r="G37">
        <f t="shared" si="2"/>
        <v>0.1126900250869908</v>
      </c>
    </row>
    <row r="38" spans="1:7" x14ac:dyDescent="0.25">
      <c r="A38" t="s">
        <v>39</v>
      </c>
      <c r="B38">
        <v>369.67196655273438</v>
      </c>
      <c r="C38">
        <v>190.55047607421881</v>
      </c>
      <c r="E38">
        <f t="shared" si="0"/>
        <v>-7.6029783406140706E-3</v>
      </c>
      <c r="F38">
        <f t="shared" si="1"/>
        <v>1.349115229914608E-2</v>
      </c>
      <c r="G38">
        <f t="shared" si="2"/>
        <v>8.0083025340588112E-4</v>
      </c>
    </row>
    <row r="39" spans="1:7" x14ac:dyDescent="0.25">
      <c r="A39" t="s">
        <v>40</v>
      </c>
      <c r="B39">
        <v>390.84716796875</v>
      </c>
      <c r="C39">
        <v>182.50404357910159</v>
      </c>
      <c r="E39">
        <f t="shared" si="0"/>
        <v>5.5700573301645087E-2</v>
      </c>
      <c r="F39">
        <f t="shared" si="1"/>
        <v>-4.3144796363349211E-2</v>
      </c>
      <c r="G39">
        <f t="shared" si="2"/>
        <v>1.6321014065199434E-2</v>
      </c>
    </row>
    <row r="40" spans="1:7" x14ac:dyDescent="0.25">
      <c r="A40" t="s">
        <v>41</v>
      </c>
      <c r="B40">
        <v>407.38714599609381</v>
      </c>
      <c r="C40">
        <v>179.119873046875</v>
      </c>
      <c r="E40">
        <f t="shared" si="0"/>
        <v>4.1447343170747226E-2</v>
      </c>
      <c r="F40">
        <f t="shared" si="1"/>
        <v>-1.8717065844849858E-2</v>
      </c>
      <c r="G40">
        <f t="shared" si="2"/>
        <v>1.7478108023109246E-2</v>
      </c>
    </row>
    <row r="41" spans="1:7" x14ac:dyDescent="0.25">
      <c r="A41" t="s">
        <v>42</v>
      </c>
      <c r="B41">
        <v>414.36007690429688</v>
      </c>
      <c r="C41">
        <v>169.93345642089841</v>
      </c>
      <c r="E41">
        <f t="shared" si="0"/>
        <v>1.6971394803234383E-2</v>
      </c>
      <c r="F41">
        <f t="shared" si="1"/>
        <v>-5.2648335927865664E-2</v>
      </c>
      <c r="G41">
        <f t="shared" si="2"/>
        <v>-1.0764798805454957E-2</v>
      </c>
    </row>
    <row r="42" spans="1:7" x14ac:dyDescent="0.25">
      <c r="A42" t="s">
        <v>43</v>
      </c>
      <c r="B42">
        <v>383.44464111328131</v>
      </c>
      <c r="C42">
        <v>168.79383850097659</v>
      </c>
      <c r="E42">
        <f t="shared" si="0"/>
        <v>-7.7540088125540543E-2</v>
      </c>
      <c r="F42">
        <f t="shared" si="1"/>
        <v>-6.7288478780086975E-3</v>
      </c>
      <c r="G42">
        <f t="shared" si="2"/>
        <v>-4.9329202381628898E-2</v>
      </c>
    </row>
    <row r="43" spans="1:7" x14ac:dyDescent="0.25">
      <c r="A43" t="s">
        <v>44</v>
      </c>
      <c r="B43">
        <v>409.59207153320313</v>
      </c>
      <c r="C43">
        <v>190.77455139160159</v>
      </c>
      <c r="E43">
        <f t="shared" si="0"/>
        <v>6.5966458267440339E-2</v>
      </c>
      <c r="F43">
        <f t="shared" si="1"/>
        <v>0.1224142919435789</v>
      </c>
      <c r="G43">
        <f t="shared" si="2"/>
        <v>8.8455026194823566E-2</v>
      </c>
    </row>
    <row r="44" spans="1:7" x14ac:dyDescent="0.25">
      <c r="A44" t="s">
        <v>45</v>
      </c>
      <c r="B44">
        <v>440.98760986328131</v>
      </c>
      <c r="C44">
        <v>209.00355529785159</v>
      </c>
      <c r="E44">
        <f t="shared" si="0"/>
        <v>7.3855062574478048E-2</v>
      </c>
      <c r="F44">
        <f t="shared" si="1"/>
        <v>9.125889114686675E-2</v>
      </c>
      <c r="G44">
        <f t="shared" si="2"/>
        <v>8.0788671103943055E-2</v>
      </c>
    </row>
    <row r="45" spans="1:7" x14ac:dyDescent="0.25">
      <c r="A45" t="s">
        <v>46</v>
      </c>
      <c r="B45">
        <v>412.76910400390631</v>
      </c>
      <c r="C45">
        <v>220.3756103515625</v>
      </c>
      <c r="E45">
        <f t="shared" si="0"/>
        <v>-6.6128413089491259E-2</v>
      </c>
      <c r="F45">
        <f t="shared" si="1"/>
        <v>5.2982147503935685E-2</v>
      </c>
      <c r="G45">
        <f t="shared" si="2"/>
        <v>-1.8675291183304129E-2</v>
      </c>
    </row>
    <row r="46" spans="1:7" x14ac:dyDescent="0.25">
      <c r="A46" t="s">
        <v>47</v>
      </c>
      <c r="B46">
        <v>412.31710815429688</v>
      </c>
      <c r="C46">
        <v>227.50553894042969</v>
      </c>
      <c r="E46">
        <f t="shared" si="0"/>
        <v>-1.0956331306088596E-3</v>
      </c>
      <c r="F46">
        <f t="shared" si="1"/>
        <v>3.1841174766955214E-2</v>
      </c>
      <c r="G46">
        <f t="shared" si="2"/>
        <v>1.2026245841137208E-2</v>
      </c>
    </row>
    <row r="47" spans="1:7" x14ac:dyDescent="0.25">
      <c r="A47" t="s">
        <v>48</v>
      </c>
      <c r="B47">
        <v>425.32492065429688</v>
      </c>
      <c r="C47">
        <v>231.47943115234381</v>
      </c>
      <c r="E47">
        <f t="shared" si="0"/>
        <v>3.1060662731126575E-2</v>
      </c>
      <c r="F47">
        <f t="shared" si="1"/>
        <v>1.7316434179494532E-2</v>
      </c>
      <c r="G47">
        <f t="shared" si="2"/>
        <v>2.5585022706281584E-2</v>
      </c>
    </row>
    <row r="48" spans="1:7" x14ac:dyDescent="0.25">
      <c r="A48" t="s">
        <v>49</v>
      </c>
      <c r="B48">
        <v>401.65188598632813</v>
      </c>
      <c r="C48">
        <v>224.4356994628906</v>
      </c>
      <c r="E48">
        <f t="shared" si="0"/>
        <v>-5.726763780978808E-2</v>
      </c>
      <c r="F48">
        <f t="shared" si="1"/>
        <v>-3.0901769754155553E-2</v>
      </c>
      <c r="G48">
        <f t="shared" si="2"/>
        <v>-4.676359228458031E-2</v>
      </c>
    </row>
    <row r="49" spans="1:7" x14ac:dyDescent="0.25">
      <c r="A49" t="s">
        <v>50</v>
      </c>
      <c r="B49">
        <v>419.40179443359381</v>
      </c>
      <c r="C49">
        <v>236.04057312011719</v>
      </c>
      <c r="E49">
        <f t="shared" si="0"/>
        <v>4.3243638826569446E-2</v>
      </c>
      <c r="F49">
        <f t="shared" si="1"/>
        <v>5.0414460738696293E-2</v>
      </c>
      <c r="G49">
        <f t="shared" si="2"/>
        <v>4.6100462643604623E-2</v>
      </c>
    </row>
    <row r="50" spans="1:7" x14ac:dyDescent="0.25">
      <c r="A50" t="s">
        <v>51</v>
      </c>
      <c r="B50">
        <v>417.46060180664063</v>
      </c>
      <c r="C50">
        <v>249.0594482421875</v>
      </c>
      <c r="E50">
        <f t="shared" si="0"/>
        <v>-4.6392241239823955E-3</v>
      </c>
      <c r="F50">
        <f t="shared" si="1"/>
        <v>5.3687905679984146E-2</v>
      </c>
      <c r="G50">
        <f t="shared" si="2"/>
        <v>1.8598047090559806E-2</v>
      </c>
    </row>
    <row r="51" spans="1:7" x14ac:dyDescent="0.25">
      <c r="A51" t="s">
        <v>52</v>
      </c>
      <c r="B51">
        <v>411.08236694335938</v>
      </c>
      <c r="C51">
        <v>234.7178039550781</v>
      </c>
      <c r="E51">
        <f t="shared" si="0"/>
        <v>-1.5396572302049818E-2</v>
      </c>
      <c r="F51">
        <f t="shared" si="1"/>
        <v>-5.9307657598243226E-2</v>
      </c>
      <c r="G51">
        <f t="shared" si="2"/>
        <v>-3.2890554978412402E-2</v>
      </c>
    </row>
    <row r="52" spans="1:7" x14ac:dyDescent="0.25">
      <c r="A52" t="s">
        <v>53</v>
      </c>
      <c r="B52">
        <v>393.973876953125</v>
      </c>
      <c r="C52">
        <v>240.79052734375</v>
      </c>
      <c r="E52">
        <f t="shared" si="0"/>
        <v>-4.2508995655399076E-2</v>
      </c>
      <c r="F52">
        <f t="shared" si="1"/>
        <v>2.5543416056134496E-2</v>
      </c>
      <c r="G52">
        <f t="shared" si="2"/>
        <v>-1.5397215030166703E-2</v>
      </c>
    </row>
    <row r="53" spans="1:7" x14ac:dyDescent="0.25">
      <c r="A53" t="s">
        <v>54</v>
      </c>
      <c r="B53">
        <v>372.53799438476563</v>
      </c>
      <c r="C53">
        <v>221.16606140136719</v>
      </c>
      <c r="E53">
        <f t="shared" si="0"/>
        <v>-5.5945573983919812E-2</v>
      </c>
      <c r="F53">
        <f t="shared" si="1"/>
        <v>-8.5013545980164668E-2</v>
      </c>
      <c r="G53">
        <f t="shared" si="2"/>
        <v>-6.752612579923517E-2</v>
      </c>
    </row>
    <row r="54" spans="1:7" x14ac:dyDescent="0.25">
      <c r="A54" t="s">
        <v>55</v>
      </c>
      <c r="B54">
        <v>392.25704956054688</v>
      </c>
      <c r="C54">
        <v>211.57786560058591</v>
      </c>
      <c r="E54">
        <f t="shared" si="0"/>
        <v>5.1578332596163297E-2</v>
      </c>
      <c r="F54">
        <f t="shared" si="1"/>
        <v>-4.4320738806763592E-2</v>
      </c>
      <c r="G54">
        <f t="shared" si="2"/>
        <v>1.3372565590274804E-2</v>
      </c>
    </row>
    <row r="55" spans="1:7" x14ac:dyDescent="0.25">
      <c r="A55" t="s">
        <v>56</v>
      </c>
      <c r="B55">
        <v>457.70114135742188</v>
      </c>
      <c r="C55">
        <v>200.24066162109381</v>
      </c>
      <c r="E55">
        <f t="shared" si="0"/>
        <v>0.15429907777401108</v>
      </c>
      <c r="F55">
        <f t="shared" si="1"/>
        <v>-5.5073138341943481E-2</v>
      </c>
      <c r="G55">
        <f t="shared" si="2"/>
        <v>7.08861104802678E-2</v>
      </c>
    </row>
    <row r="56" spans="1:7" x14ac:dyDescent="0.25">
      <c r="A56" t="s">
        <v>57</v>
      </c>
      <c r="B56">
        <v>494.53720092773438</v>
      </c>
      <c r="C56">
        <v>204.54754638671881</v>
      </c>
      <c r="E56">
        <f t="shared" si="0"/>
        <v>7.7405936275137893E-2</v>
      </c>
      <c r="F56">
        <f t="shared" si="1"/>
        <v>2.1280497868755771E-2</v>
      </c>
      <c r="G56">
        <f t="shared" si="2"/>
        <v>5.5045809201038451E-2</v>
      </c>
    </row>
    <row r="57" spans="1:7" x14ac:dyDescent="0.25">
      <c r="A57" t="s">
        <v>58</v>
      </c>
      <c r="B57">
        <v>530.41876220703125</v>
      </c>
      <c r="C57">
        <v>206.9402770996094</v>
      </c>
      <c r="E57">
        <f t="shared" si="0"/>
        <v>7.0044434327703492E-2</v>
      </c>
      <c r="F57">
        <f t="shared" si="1"/>
        <v>1.1629786082173566E-2</v>
      </c>
      <c r="G57">
        <f t="shared" si="2"/>
        <v>4.6772296152113875E-2</v>
      </c>
    </row>
    <row r="58" spans="1:7" x14ac:dyDescent="0.25">
      <c r="A58" t="s">
        <v>59</v>
      </c>
      <c r="B58">
        <v>504.59173583984381</v>
      </c>
      <c r="C58">
        <v>231.69837951660159</v>
      </c>
      <c r="E58">
        <f t="shared" si="0"/>
        <v>-4.9917153512643468E-2</v>
      </c>
      <c r="F58">
        <f t="shared" si="1"/>
        <v>0.11300620231833074</v>
      </c>
      <c r="G58">
        <f t="shared" si="2"/>
        <v>1.4990792744130052E-2</v>
      </c>
    </row>
    <row r="59" spans="1:7" x14ac:dyDescent="0.25">
      <c r="A59" t="s">
        <v>60</v>
      </c>
      <c r="B59">
        <v>515.80511474609375</v>
      </c>
      <c r="C59">
        <v>254.1455993652344</v>
      </c>
      <c r="E59">
        <f t="shared" si="0"/>
        <v>2.1979351113304259E-2</v>
      </c>
      <c r="F59">
        <f t="shared" si="1"/>
        <v>9.2470891106917544E-2</v>
      </c>
      <c r="G59">
        <f t="shared" si="2"/>
        <v>5.0062869686353366E-2</v>
      </c>
    </row>
    <row r="60" spans="1:7" x14ac:dyDescent="0.25">
      <c r="A60" t="s">
        <v>61</v>
      </c>
      <c r="B60">
        <v>515.6656494140625</v>
      </c>
      <c r="C60">
        <v>269.85565185546881</v>
      </c>
      <c r="E60">
        <f t="shared" si="0"/>
        <v>-2.704203312921292E-4</v>
      </c>
      <c r="F60">
        <f t="shared" si="1"/>
        <v>5.9979864644411289E-2</v>
      </c>
      <c r="G60">
        <f t="shared" si="2"/>
        <v>2.3733027420026278E-2</v>
      </c>
    </row>
    <row r="61" spans="1:7" x14ac:dyDescent="0.25">
      <c r="A61" t="s">
        <v>62</v>
      </c>
      <c r="B61">
        <v>490.88958740234381</v>
      </c>
      <c r="C61">
        <v>278.58932495117188</v>
      </c>
      <c r="E61">
        <f t="shared" si="0"/>
        <v>-4.923935960971787E-2</v>
      </c>
      <c r="F61">
        <f t="shared" si="1"/>
        <v>3.1851550574273232E-2</v>
      </c>
      <c r="G61">
        <f t="shared" si="2"/>
        <v>-1.6933098709985762E-2</v>
      </c>
    </row>
    <row r="62" spans="1:7" x14ac:dyDescent="0.25">
      <c r="A62" t="s">
        <v>63</v>
      </c>
      <c r="B62">
        <v>486.36990356445313</v>
      </c>
      <c r="C62">
        <v>272.82470703125</v>
      </c>
      <c r="E62">
        <f t="shared" si="0"/>
        <v>-9.2497767570520802E-3</v>
      </c>
      <c r="F62">
        <f t="shared" si="1"/>
        <v>-2.0909253688805033E-2</v>
      </c>
      <c r="G62">
        <f t="shared" si="2"/>
        <v>-1.3894860933033885E-2</v>
      </c>
    </row>
    <row r="63" spans="1:7" x14ac:dyDescent="0.25">
      <c r="D63" t="s">
        <v>64</v>
      </c>
      <c r="E63">
        <f>AVERAGE(E3:E62)</f>
        <v>1.3766388295716532E-2</v>
      </c>
      <c r="F63">
        <f>AVERAGE(F3:F62)</f>
        <v>1.2477594526514875E-2</v>
      </c>
      <c r="G63">
        <f>AVERAGE(G3:G62)</f>
        <v>1.3252938543342217E-2</v>
      </c>
    </row>
    <row r="64" spans="1:7" x14ac:dyDescent="0.25">
      <c r="D64" t="s">
        <v>65</v>
      </c>
      <c r="E64">
        <f>_xlfn.STDEV.S(E3:E62)</f>
        <v>6.2959663080195502E-2</v>
      </c>
      <c r="F64">
        <f>_xlfn.STDEV.S(F3:F62)</f>
        <v>6.9755004199335779E-2</v>
      </c>
      <c r="G64">
        <f>_xlfn.STDEV.S(G3:G62)</f>
        <v>5.7092236961861199E-2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Hsein Kew</dc:creator>
  <cp:lastModifiedBy>Hsein Kew</cp:lastModifiedBy>
  <dcterms:created xsi:type="dcterms:W3CDTF">2026-03-26T15:12:02Z</dcterms:created>
  <dcterms:modified xsi:type="dcterms:W3CDTF">2026-03-26T16:57:42Z</dcterms:modified>
</cp:coreProperties>
</file>