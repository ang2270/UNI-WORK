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TC3460 S1 2026\W5\"/>
    </mc:Choice>
  </mc:AlternateContent>
  <xr:revisionPtr revIDLastSave="0" documentId="8_{5CCF7A03-E5BE-4134-B697-533B22C1CA4C}" xr6:coauthVersionLast="47" xr6:coauthVersionMax="47" xr10:uidLastSave="{00000000-0000-0000-0000-000000000000}"/>
  <bookViews>
    <workbookView xWindow="-120" yWindow="-120" windowWidth="29040" windowHeight="15720" xr2:uid="{C6DE04C5-635C-5C49-839B-C727160104FC}"/>
  </bookViews>
  <sheets>
    <sheet name="Q1 - solver" sheetId="1" r:id="rId1"/>
    <sheet name="Analytical" sheetId="2" r:id="rId2"/>
  </sheets>
  <definedNames>
    <definedName name="sigma">Analytical!$C$4:$E$6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'Q1 - solver'!$H$26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'Q1 - solver'!$Q$4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" i="1" l="1"/>
  <c r="D40" i="2" l="1"/>
</calcChain>
</file>

<file path=xl/sharedStrings.xml><?xml version="1.0" encoding="utf-8"?>
<sst xmlns="http://schemas.openxmlformats.org/spreadsheetml/2006/main" count="55" uniqueCount="38">
  <si>
    <t>Expected returns</t>
  </si>
  <si>
    <t>Standard deviations</t>
  </si>
  <si>
    <t>M</t>
  </si>
  <si>
    <t>N</t>
  </si>
  <si>
    <t>S</t>
  </si>
  <si>
    <t>Microsoft (M)</t>
  </si>
  <si>
    <t>Nordstrom (N)</t>
  </si>
  <si>
    <t>Starbucks (S)</t>
  </si>
  <si>
    <t>Variance-covariance matrix</t>
  </si>
  <si>
    <t>Pairs(i,j)</t>
  </si>
  <si>
    <t>(M,N)</t>
  </si>
  <si>
    <t>(M,S)</t>
  </si>
  <si>
    <t>(N,S)</t>
  </si>
  <si>
    <t>Covariances</t>
  </si>
  <si>
    <t xml:space="preserve">Expected return, Standard Deviation and Covariances </t>
  </si>
  <si>
    <t>Calculating optimal portfolio weights using Solver</t>
  </si>
  <si>
    <t>Step 1: Compute the Expected return of portfolio</t>
  </si>
  <si>
    <t>Step 2: Compute the standard deviation of portfolio</t>
  </si>
  <si>
    <t>Standard Deviation</t>
  </si>
  <si>
    <t xml:space="preserve">Expected Return </t>
  </si>
  <si>
    <t>Weights</t>
  </si>
  <si>
    <t>Sum</t>
  </si>
  <si>
    <t>The formula approach</t>
  </si>
  <si>
    <t>Matrix multiplication approach</t>
  </si>
  <si>
    <t>Step 3: Use Solver to workout the weights</t>
  </si>
  <si>
    <t>Too lengthy</t>
  </si>
  <si>
    <t>Define the 1 vector. Highlight a 3 by 3 block for Sigma_inverse and use =MINVERSE of the vcov matrix (CTRL+SHIFT+ENTER)</t>
  </si>
  <si>
    <t>Vector of 1's</t>
  </si>
  <si>
    <r>
      <t>S</t>
    </r>
    <r>
      <rPr>
        <b/>
        <sz val="12"/>
        <color rgb="FFFF0000"/>
        <rFont val="Calibri"/>
        <family val="2"/>
        <scheme val="minor"/>
      </rPr>
      <t>_inv</t>
    </r>
  </si>
  <si>
    <t>vec1</t>
  </si>
  <si>
    <t>Weights computation</t>
  </si>
  <si>
    <t xml:space="preserve">Numerator: Sigma times vec1 is a 3 by 1 answer, so highlight a column of size 3 and use =mmult </t>
  </si>
  <si>
    <t>Numerator</t>
  </si>
  <si>
    <r>
      <t>S</t>
    </r>
    <r>
      <rPr>
        <sz val="12"/>
        <color theme="1"/>
        <rFont val="Calibri"/>
        <family val="2"/>
        <scheme val="minor"/>
      </rPr>
      <t>_inv</t>
    </r>
    <r>
      <rPr>
        <sz val="12"/>
        <color theme="1"/>
        <rFont val="Symbol"/>
        <family val="1"/>
        <charset val="2"/>
      </rPr>
      <t xml:space="preserve"> </t>
    </r>
    <r>
      <rPr>
        <sz val="12"/>
        <color theme="1"/>
        <rFont val="Calibri"/>
        <family val="2"/>
        <scheme val="minor"/>
      </rPr>
      <t>times vec1</t>
    </r>
  </si>
  <si>
    <t>Denominator vec1'Sig_inv*vec1 is a scalar - so just select one cell and use =mmult and transpose the vec1 and multiply by Sig_inv times 1</t>
  </si>
  <si>
    <t>Denominator</t>
  </si>
  <si>
    <t>Weights: Divide each of the Numerator values by the denominator to get the same weights as solver</t>
  </si>
  <si>
    <t>ETC3460 Tutorial Week 5 Question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</si>
</sst>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"/>
    <numFmt numFmtId="165" formatCode="0.00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Symbol"/>
      <family val="1"/>
      <charset val="2"/>
    </font>
    <font>
      <sz val="12"/>
      <color theme="1"/>
      <name val="Symbol"/>
      <family val="1"/>
      <charset val="2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7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0" borderId="1" xfId="0" applyBorder="1"/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/>
    <xf numFmtId="0" fontId="0" fillId="10" borderId="0" xfId="0" applyFill="1"/>
    <xf numFmtId="0" fontId="1" fillId="10" borderId="1" xfId="0" applyFont="1" applyFill="1" applyBorder="1"/>
    <xf numFmtId="165" fontId="1" fillId="10" borderId="1" xfId="0" applyNumberFormat="1" applyFont="1" applyFill="1" applyBorder="1"/>
    <xf numFmtId="43" fontId="0" fillId="0" borderId="0" xfId="1" applyFont="1"/>
    <xf numFmtId="0" fontId="2" fillId="5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9" fillId="8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5A39-7CEC-1A48-837E-527AFFB7E34A}">
  <dimension ref="A1:M26"/>
  <sheetViews>
    <sheetView tabSelected="1" workbookViewId="0">
      <selection activeCell="A2" sqref="A2:M2"/>
    </sheetView>
  </sheetViews>
  <sheetFormatPr defaultColWidth="10.875" defaultRowHeight="24.95" customHeight="1" x14ac:dyDescent="0.25"/>
  <cols>
    <col min="1" max="1" width="10.875" style="5"/>
    <col min="2" max="2" width="17.125" style="5" customWidth="1"/>
    <col min="3" max="3" width="13.5" style="5" customWidth="1"/>
    <col min="4" max="6" width="10.875" style="5"/>
    <col min="7" max="7" width="16.625" style="5" bestFit="1" customWidth="1"/>
    <col min="8" max="8" width="10.875" style="5"/>
    <col min="9" max="9" width="15.875" style="5" customWidth="1"/>
    <col min="10" max="10" width="6" style="5" customWidth="1"/>
    <col min="11" max="11" width="15.875" style="5" customWidth="1"/>
    <col min="12" max="13" width="10.875" style="5"/>
    <col min="14" max="16384" width="10.875" style="14"/>
  </cols>
  <sheetData>
    <row r="1" spans="1:13" ht="24.95" customHeight="1" x14ac:dyDescent="0.25">
      <c r="A1" s="28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4.95" customHeight="1" x14ac:dyDescent="0.25">
      <c r="A2" s="29" t="s">
        <v>14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4" spans="1:13" ht="34.5" x14ac:dyDescent="0.25">
      <c r="B4" s="1"/>
      <c r="C4" s="2" t="s">
        <v>0</v>
      </c>
      <c r="D4" s="2" t="s">
        <v>1</v>
      </c>
      <c r="F4" s="2" t="s">
        <v>9</v>
      </c>
      <c r="G4" s="2" t="s">
        <v>13</v>
      </c>
    </row>
    <row r="5" spans="1:13" ht="24.95" customHeight="1" x14ac:dyDescent="0.25">
      <c r="B5" s="1" t="s">
        <v>5</v>
      </c>
      <c r="C5" s="3"/>
      <c r="D5" s="3"/>
      <c r="F5" s="1" t="s">
        <v>10</v>
      </c>
      <c r="G5" s="3"/>
    </row>
    <row r="6" spans="1:13" ht="24.95" customHeight="1" x14ac:dyDescent="0.25">
      <c r="B6" s="1" t="s">
        <v>6</v>
      </c>
      <c r="C6" s="3"/>
      <c r="D6" s="3"/>
      <c r="F6" s="1" t="s">
        <v>11</v>
      </c>
      <c r="G6" s="3"/>
    </row>
    <row r="7" spans="1:13" ht="24.95" customHeight="1" x14ac:dyDescent="0.25">
      <c r="B7" s="1" t="s">
        <v>7</v>
      </c>
      <c r="C7" s="3"/>
      <c r="D7" s="3"/>
      <c r="F7" s="1" t="s">
        <v>12</v>
      </c>
      <c r="G7" s="3"/>
    </row>
    <row r="9" spans="1:13" ht="24.95" customHeight="1" x14ac:dyDescent="0.25">
      <c r="A9" s="29" t="s">
        <v>8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</row>
    <row r="11" spans="1:13" ht="24.95" customHeight="1" x14ac:dyDescent="0.25">
      <c r="B11" s="3"/>
      <c r="C11" s="1" t="s">
        <v>2</v>
      </c>
      <c r="D11" s="1" t="s">
        <v>3</v>
      </c>
      <c r="E11" s="1" t="s">
        <v>4</v>
      </c>
      <c r="F11" s="6"/>
    </row>
    <row r="12" spans="1:13" ht="24.95" customHeight="1" x14ac:dyDescent="0.25">
      <c r="B12" s="1" t="s">
        <v>2</v>
      </c>
      <c r="C12" s="4"/>
      <c r="D12" s="4"/>
      <c r="E12" s="4"/>
    </row>
    <row r="13" spans="1:13" ht="24.95" customHeight="1" x14ac:dyDescent="0.25">
      <c r="B13" s="1" t="s">
        <v>3</v>
      </c>
      <c r="C13" s="4"/>
      <c r="D13" s="4"/>
      <c r="E13" s="4"/>
    </row>
    <row r="14" spans="1:13" ht="24.95" customHeight="1" x14ac:dyDescent="0.25">
      <c r="B14" s="1" t="s">
        <v>4</v>
      </c>
      <c r="C14" s="4"/>
      <c r="D14" s="4"/>
      <c r="E14" s="4"/>
    </row>
    <row r="16" spans="1:13" ht="24.95" customHeight="1" x14ac:dyDescent="0.25">
      <c r="A16" s="29" t="s">
        <v>15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 spans="1:13" ht="47.25" x14ac:dyDescent="0.25">
      <c r="I17" s="7" t="s">
        <v>22</v>
      </c>
      <c r="K17" s="7" t="s">
        <v>23</v>
      </c>
    </row>
    <row r="18" spans="1:13" ht="24.95" customHeight="1" x14ac:dyDescent="0.25">
      <c r="A18" s="25" t="s">
        <v>16</v>
      </c>
      <c r="B18" s="25"/>
      <c r="C18" s="25"/>
      <c r="D18" s="25"/>
      <c r="E18" s="25"/>
      <c r="F18" s="8"/>
      <c r="G18" s="26" t="s">
        <v>19</v>
      </c>
      <c r="H18" s="26"/>
      <c r="I18" s="9">
        <f>(H23*C5)+(H24*C6)+(H25*C7)</f>
        <v>0</v>
      </c>
      <c r="J18" s="9"/>
      <c r="K18" s="9"/>
      <c r="L18" s="8"/>
      <c r="M18" s="8"/>
    </row>
    <row r="20" spans="1:13" ht="24.95" customHeight="1" x14ac:dyDescent="0.25">
      <c r="A20" s="25" t="s">
        <v>17</v>
      </c>
      <c r="B20" s="25"/>
      <c r="C20" s="25"/>
      <c r="D20" s="25"/>
      <c r="E20" s="25"/>
      <c r="F20" s="8"/>
      <c r="G20" s="26" t="s">
        <v>18</v>
      </c>
      <c r="H20" s="27"/>
      <c r="I20" s="3" t="s">
        <v>25</v>
      </c>
      <c r="J20" s="3"/>
      <c r="K20" s="10"/>
    </row>
    <row r="22" spans="1:13" ht="24.95" customHeight="1" x14ac:dyDescent="0.25">
      <c r="A22" s="25" t="s">
        <v>24</v>
      </c>
      <c r="B22" s="25"/>
      <c r="C22" s="25"/>
      <c r="D22" s="25"/>
      <c r="E22" s="25"/>
      <c r="G22" s="3"/>
      <c r="H22" s="1" t="s">
        <v>20</v>
      </c>
    </row>
    <row r="23" spans="1:13" ht="24.95" customHeight="1" x14ac:dyDescent="0.25">
      <c r="G23" s="1" t="s">
        <v>5</v>
      </c>
      <c r="H23" s="11"/>
    </row>
    <row r="24" spans="1:13" ht="24.95" customHeight="1" x14ac:dyDescent="0.25">
      <c r="G24" s="1" t="s">
        <v>6</v>
      </c>
      <c r="H24" s="11"/>
    </row>
    <row r="25" spans="1:13" ht="24.95" customHeight="1" x14ac:dyDescent="0.25">
      <c r="G25" s="1" t="s">
        <v>7</v>
      </c>
      <c r="H25" s="11"/>
    </row>
    <row r="26" spans="1:13" ht="24.95" customHeight="1" x14ac:dyDescent="0.25">
      <c r="G26" s="1" t="s">
        <v>21</v>
      </c>
      <c r="H26" s="12"/>
    </row>
  </sheetData>
  <mergeCells count="9">
    <mergeCell ref="A20:E20"/>
    <mergeCell ref="G18:H18"/>
    <mergeCell ref="G20:H20"/>
    <mergeCell ref="A22:E22"/>
    <mergeCell ref="A1:M1"/>
    <mergeCell ref="A2:M2"/>
    <mergeCell ref="A9:M9"/>
    <mergeCell ref="A16:M16"/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D93F-D032-4FA4-BEE9-4E1E210DE6F0}">
  <dimension ref="A1:M40"/>
  <sheetViews>
    <sheetView workbookViewId="0">
      <selection activeCell="D36" sqref="D36:D38"/>
    </sheetView>
  </sheetViews>
  <sheetFormatPr defaultRowHeight="15.75" x14ac:dyDescent="0.25"/>
  <cols>
    <col min="1" max="1" width="10.75" customWidth="1"/>
    <col min="6" max="6" width="11.5" bestFit="1" customWidth="1"/>
  </cols>
  <sheetData>
    <row r="1" spans="1:13" ht="18.75" x14ac:dyDescent="0.25">
      <c r="A1" s="29" t="s">
        <v>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7.25" x14ac:dyDescent="0.25">
      <c r="A3" s="5"/>
      <c r="B3" s="3"/>
      <c r="C3" s="13" t="s">
        <v>2</v>
      </c>
      <c r="D3" s="13" t="s">
        <v>3</v>
      </c>
      <c r="E3" s="13" t="s">
        <v>4</v>
      </c>
      <c r="F3" s="6"/>
      <c r="G3" s="5"/>
      <c r="H3" s="5"/>
      <c r="I3" s="5"/>
      <c r="J3" s="5"/>
      <c r="K3" s="5"/>
      <c r="L3" s="5"/>
      <c r="M3" s="5"/>
    </row>
    <row r="4" spans="1:13" ht="17.25" x14ac:dyDescent="0.25">
      <c r="A4" s="5"/>
      <c r="B4" s="13" t="s">
        <v>2</v>
      </c>
      <c r="C4" s="4">
        <v>1.0000000000000002E-2</v>
      </c>
      <c r="D4" s="4">
        <v>1.8E-3</v>
      </c>
      <c r="E4" s="4">
        <v>1.1000000000000001E-3</v>
      </c>
      <c r="F4" s="5"/>
      <c r="G4" s="5"/>
      <c r="H4" s="5"/>
      <c r="I4" s="5"/>
      <c r="J4" s="5"/>
      <c r="K4" s="5"/>
      <c r="L4" s="5"/>
      <c r="M4" s="5"/>
    </row>
    <row r="5" spans="1:13" ht="17.25" x14ac:dyDescent="0.25">
      <c r="A5" s="5"/>
      <c r="B5" s="13" t="s">
        <v>3</v>
      </c>
      <c r="C5" s="4">
        <v>1.8E-3</v>
      </c>
      <c r="D5" s="4">
        <v>1.0899360000000002E-2</v>
      </c>
      <c r="E5" s="4">
        <v>2.5999999999999999E-3</v>
      </c>
      <c r="F5" s="5"/>
      <c r="G5" s="5"/>
      <c r="H5" s="5"/>
      <c r="I5" s="5"/>
      <c r="J5" s="5"/>
      <c r="K5" s="5"/>
      <c r="L5" s="5"/>
      <c r="M5" s="5"/>
    </row>
    <row r="6" spans="1:13" ht="17.25" x14ac:dyDescent="0.25">
      <c r="A6" s="5"/>
      <c r="B6" s="13" t="s">
        <v>4</v>
      </c>
      <c r="C6" s="4">
        <v>1.1000000000000001E-3</v>
      </c>
      <c r="D6" s="4">
        <v>2.5999999999999999E-3</v>
      </c>
      <c r="E6" s="4">
        <v>1.990921E-2</v>
      </c>
      <c r="F6" s="5"/>
      <c r="G6" s="5"/>
      <c r="H6" s="5"/>
      <c r="I6" s="5"/>
      <c r="J6" s="5"/>
      <c r="K6" s="5"/>
      <c r="L6" s="5"/>
      <c r="M6" s="5"/>
    </row>
    <row r="7" spans="1:1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11" spans="1:13" x14ac:dyDescent="0.25">
      <c r="A11" s="32" t="s">
        <v>26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4" spans="1:13" x14ac:dyDescent="0.25">
      <c r="A14" s="15" t="s">
        <v>27</v>
      </c>
      <c r="C14" s="16" t="s">
        <v>28</v>
      </c>
      <c r="D14" s="17"/>
      <c r="E14" s="17"/>
      <c r="F14" s="17"/>
    </row>
    <row r="15" spans="1:13" x14ac:dyDescent="0.25">
      <c r="A15" s="18" t="s">
        <v>29</v>
      </c>
      <c r="D15" s="17"/>
      <c r="E15" s="17"/>
      <c r="F15" s="17"/>
    </row>
    <row r="16" spans="1:13" x14ac:dyDescent="0.25">
      <c r="A16" s="19"/>
      <c r="D16" s="17"/>
      <c r="E16" s="17"/>
      <c r="F16" s="17"/>
    </row>
    <row r="17" spans="1:13" x14ac:dyDescent="0.25">
      <c r="A17" s="19"/>
    </row>
    <row r="18" spans="1:13" x14ac:dyDescent="0.25">
      <c r="A18" s="19"/>
    </row>
    <row r="21" spans="1:13" x14ac:dyDescent="0.25">
      <c r="A21" s="33" t="s">
        <v>30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3" spans="1:13" x14ac:dyDescent="0.25">
      <c r="A23" s="34" t="s">
        <v>31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5" spans="1:13" x14ac:dyDescent="0.25">
      <c r="B25" s="35" t="s">
        <v>32</v>
      </c>
      <c r="C25" s="35"/>
      <c r="D25" s="20"/>
    </row>
    <row r="26" spans="1:13" x14ac:dyDescent="0.25">
      <c r="B26" s="36" t="s">
        <v>33</v>
      </c>
      <c r="C26" s="36"/>
      <c r="D26" s="20"/>
    </row>
    <row r="27" spans="1:13" x14ac:dyDescent="0.25">
      <c r="D27" s="20"/>
    </row>
    <row r="30" spans="1:13" x14ac:dyDescent="0.25">
      <c r="A30" s="30" t="s">
        <v>34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2" spans="1:13" x14ac:dyDescent="0.25">
      <c r="B32" s="21" t="s">
        <v>35</v>
      </c>
      <c r="C32" s="21"/>
      <c r="D32" s="21"/>
    </row>
    <row r="34" spans="1:13" x14ac:dyDescent="0.25">
      <c r="A34" s="31" t="s">
        <v>36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6" spans="1:13" x14ac:dyDescent="0.25">
      <c r="C36" s="22" t="s">
        <v>2</v>
      </c>
      <c r="D36" s="23"/>
      <c r="F36" s="24"/>
    </row>
    <row r="37" spans="1:13" x14ac:dyDescent="0.25">
      <c r="C37" s="22" t="s">
        <v>3</v>
      </c>
      <c r="D37" s="23"/>
      <c r="F37" s="24"/>
    </row>
    <row r="38" spans="1:13" x14ac:dyDescent="0.25">
      <c r="C38" s="22" t="s">
        <v>4</v>
      </c>
      <c r="D38" s="23"/>
      <c r="F38" s="24"/>
    </row>
    <row r="40" spans="1:13" x14ac:dyDescent="0.25">
      <c r="C40" s="22" t="s">
        <v>21</v>
      </c>
      <c r="D40" s="23">
        <f>SUM(D36:D39)</f>
        <v>0</v>
      </c>
    </row>
  </sheetData>
  <mergeCells count="8">
    <mergeCell ref="A30:M30"/>
    <mergeCell ref="A34:M34"/>
    <mergeCell ref="A1:M1"/>
    <mergeCell ref="A11:M11"/>
    <mergeCell ref="A21:M21"/>
    <mergeCell ref="A23:M23"/>
    <mergeCell ref="B25:C25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Q1 - solver</vt:lpstr>
      <vt:lpstr>Analytical</vt:lpstr>
      <vt:lpstr>sigma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Balarama</dc:creator>
  <cp:lastModifiedBy>Lachlan Macquarie</cp:lastModifiedBy>
  <dcterms:created xsi:type="dcterms:W3CDTF">2021-03-28T03:24:14Z</dcterms:created>
  <dcterms:modified xsi:type="dcterms:W3CDTF">2026-03-25T22:14:22Z</dcterms:modified>
</cp:coreProperties>
</file>